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g8\Desktop\"/>
    </mc:Choice>
  </mc:AlternateContent>
  <xr:revisionPtr revIDLastSave="0" documentId="13_ncr:1_{3A31A34E-EF59-4390-BEFF-C0B9D7DD58B4}" xr6:coauthVersionLast="47" xr6:coauthVersionMax="47" xr10:uidLastSave="{00000000-0000-0000-0000-000000000000}"/>
  <bookViews>
    <workbookView xWindow="-120" yWindow="-120" windowWidth="38640" windowHeight="21240" xr2:uid="{93E32FEA-F230-4B0B-B8BE-899E529E740A}"/>
  </bookViews>
  <sheets>
    <sheet name="ריצות" sheetId="1" r:id="rId1"/>
    <sheet name="תזונה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2" l="1"/>
  <c r="J11" i="2"/>
  <c r="I14" i="2"/>
  <c r="J14" i="2"/>
  <c r="J19" i="2"/>
  <c r="I19" i="2"/>
  <c r="J18" i="2"/>
  <c r="I18" i="2"/>
  <c r="J17" i="2"/>
  <c r="I17" i="2"/>
  <c r="J16" i="2"/>
  <c r="I16" i="2"/>
  <c r="J15" i="2"/>
  <c r="I15" i="2"/>
  <c r="J13" i="2"/>
  <c r="I13" i="2"/>
  <c r="J12" i="2"/>
  <c r="I12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  <c r="I20" i="2" l="1"/>
  <c r="J20" i="2"/>
</calcChain>
</file>

<file path=xl/sharedStrings.xml><?xml version="1.0" encoding="utf-8"?>
<sst xmlns="http://schemas.openxmlformats.org/spreadsheetml/2006/main" count="101" uniqueCount="78">
  <si>
    <t>Avg. Heart Rate</t>
  </si>
  <si>
    <t>25.5.26</t>
  </si>
  <si>
    <t>2.6.26</t>
  </si>
  <si>
    <t>9.6.26</t>
  </si>
  <si>
    <t>16.6.26</t>
  </si>
  <si>
    <t>0:30:07</t>
  </si>
  <si>
    <t>23.6.26</t>
  </si>
  <si>
    <t>30.6.26</t>
  </si>
  <si>
    <t>7.7.26</t>
  </si>
  <si>
    <t>9.7.26</t>
  </si>
  <si>
    <t>14.7.26</t>
  </si>
  <si>
    <t>X</t>
  </si>
  <si>
    <t>Avg. Cadence[SPM]</t>
  </si>
  <si>
    <t>Avg. Power[W]</t>
  </si>
  <si>
    <t>Elevation Gain[m]</t>
  </si>
  <si>
    <t>Temeture[C]</t>
  </si>
  <si>
    <t>Avg. Pace[Km/h]</t>
  </si>
  <si>
    <t>Distance[Km]</t>
  </si>
  <si>
    <t>16.7.26</t>
  </si>
  <si>
    <t>21.7.26</t>
  </si>
  <si>
    <t>28.7.26</t>
  </si>
  <si>
    <t>30.7.26</t>
  </si>
  <si>
    <t>מה אכלתי?</t>
  </si>
  <si>
    <t>כמה אכלתי?</t>
  </si>
  <si>
    <t>בוקר</t>
  </si>
  <si>
    <t>ביצה</t>
  </si>
  <si>
    <t>מלפפון</t>
  </si>
  <si>
    <t>עגבניה</t>
  </si>
  <si>
    <t>גזר</t>
  </si>
  <si>
    <t>ביניים בוקר</t>
  </si>
  <si>
    <t>יוגורט חלבון</t>
  </si>
  <si>
    <t>צהריים</t>
  </si>
  <si>
    <t>כרע עוף</t>
  </si>
  <si>
    <t>כף אורז מבושל</t>
  </si>
  <si>
    <t>סלט ירקות</t>
  </si>
  <si>
    <t>כף טחינה</t>
  </si>
  <si>
    <t>ביניים ערב</t>
  </si>
  <si>
    <t>חופן אגוזי מלך</t>
  </si>
  <si>
    <t>חופן שקדים</t>
  </si>
  <si>
    <t>אחרי אימון</t>
  </si>
  <si>
    <t>אבקת חלבון</t>
  </si>
  <si>
    <t>ערב</t>
  </si>
  <si>
    <t>כוס חלב</t>
  </si>
  <si>
    <t>גבינה לבנה(כף)</t>
  </si>
  <si>
    <t>קוטג'(כף)</t>
  </si>
  <si>
    <t>מאכל</t>
  </si>
  <si>
    <t>חלבון בגרמים</t>
  </si>
  <si>
    <t>קלוריות</t>
  </si>
  <si>
    <t>גרם חלבון</t>
  </si>
  <si>
    <t>ערך קלורי</t>
  </si>
  <si>
    <t>טונה</t>
  </si>
  <si>
    <t>בננה</t>
  </si>
  <si>
    <t>סה"כ</t>
  </si>
  <si>
    <t>תעודת זהות</t>
  </si>
  <si>
    <t>מין</t>
  </si>
  <si>
    <t>גיל</t>
  </si>
  <si>
    <t>גובה</t>
  </si>
  <si>
    <t>משקל</t>
  </si>
  <si>
    <t>בטטה אפויה</t>
  </si>
  <si>
    <t>זכר</t>
  </si>
  <si>
    <t>Duration[HH:MM:SS]</t>
  </si>
  <si>
    <t xml:space="preserve">Date </t>
  </si>
  <si>
    <t>Time</t>
  </si>
  <si>
    <t>20:36-21:14</t>
  </si>
  <si>
    <t>21:03-21:33</t>
  </si>
  <si>
    <t>20:53-21:24</t>
  </si>
  <si>
    <t>20:50-21:20</t>
  </si>
  <si>
    <t>20:47-21:17</t>
  </si>
  <si>
    <t>21:00-21:46</t>
  </si>
  <si>
    <t>20:56-21:48</t>
  </si>
  <si>
    <t>05:16-06:01</t>
  </si>
  <si>
    <t>20:53-21:49</t>
  </si>
  <si>
    <t>21:03-22:01</t>
  </si>
  <si>
    <t>20:54-21:54</t>
  </si>
  <si>
    <t>21:00-22:01</t>
  </si>
  <si>
    <t>20:54-21:58</t>
  </si>
  <si>
    <t>05:17-06:17</t>
  </si>
  <si>
    <t>4.8.26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</si>
</sst>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/>
    </xf>
    <xf numFmtId="46" fontId="0" fillId="0" borderId="0" xfId="0" applyNumberFormat="1" applyAlignment="1">
      <alignment horizontal="center"/>
    </xf>
    <xf numFmtId="21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E51F87-99BB-4D62-A67D-263A319CF9CE}" name="Table1" displayName="Table1" ref="A1:C19" totalsRowShown="0">
  <autoFilter ref="A1:C19" xr:uid="{88E51F87-99BB-4D62-A67D-263A319CF9CE}"/>
  <tableColumns count="3">
    <tableColumn id="1" xr3:uid="{87CD78A2-D967-4B49-A894-467534FA77D1}" name="מאכל"/>
    <tableColumn id="2" xr3:uid="{355C6E34-8146-4023-92C7-733EEB18B3F7}" name="חלבון בגרמים"/>
    <tableColumn id="3" xr3:uid="{B400978F-332D-4A7A-BE59-2B6E86DDF1F1}" name="קלוריות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55329-8E33-4E9B-B144-C5B94A12D158}">
  <dimension ref="A1:J15"/>
  <sheetViews>
    <sheetView tabSelected="1" workbookViewId="0">
      <selection activeCell="C19" sqref="C19"/>
    </sheetView>
  </sheetViews>
  <sheetFormatPr defaultRowHeight="15" x14ac:dyDescent="0.25"/>
  <cols>
    <col min="1" max="1" width="13.7109375" bestFit="1" customWidth="1"/>
    <col min="2" max="2" width="11.85546875" customWidth="1"/>
    <col min="3" max="3" width="19" bestFit="1" customWidth="1"/>
    <col min="4" max="4" width="14.140625" bestFit="1" customWidth="1"/>
    <col min="5" max="5" width="15.28515625" bestFit="1" customWidth="1"/>
    <col min="6" max="7" width="16.5703125" bestFit="1" customWidth="1"/>
    <col min="8" max="9" width="17.7109375" bestFit="1" customWidth="1"/>
    <col min="10" max="10" width="11.42578125" bestFit="1" customWidth="1"/>
  </cols>
  <sheetData>
    <row r="1" spans="1:10" x14ac:dyDescent="0.25">
      <c r="A1" s="5" t="s">
        <v>61</v>
      </c>
      <c r="B1" s="5" t="s">
        <v>62</v>
      </c>
      <c r="C1" s="5" t="s">
        <v>60</v>
      </c>
      <c r="D1" s="5" t="s">
        <v>17</v>
      </c>
      <c r="E1" s="5" t="s">
        <v>0</v>
      </c>
      <c r="F1" s="5" t="s">
        <v>16</v>
      </c>
      <c r="G1" s="5" t="s">
        <v>14</v>
      </c>
      <c r="H1" s="5" t="s">
        <v>13</v>
      </c>
      <c r="I1" s="5" t="s">
        <v>12</v>
      </c>
      <c r="J1" s="5" t="s">
        <v>15</v>
      </c>
    </row>
    <row r="2" spans="1:10" x14ac:dyDescent="0.25">
      <c r="A2" s="5" t="s">
        <v>1</v>
      </c>
      <c r="B2" s="5" t="s">
        <v>63</v>
      </c>
      <c r="C2" s="1" t="s">
        <v>5</v>
      </c>
      <c r="D2" s="5">
        <v>5.82</v>
      </c>
      <c r="E2" s="5">
        <v>168</v>
      </c>
      <c r="F2" s="6">
        <v>0.2722222222222222</v>
      </c>
      <c r="G2" s="5" t="s">
        <v>11</v>
      </c>
      <c r="H2" s="5">
        <v>159</v>
      </c>
      <c r="I2" s="5">
        <v>147</v>
      </c>
      <c r="J2" s="5">
        <v>21</v>
      </c>
    </row>
    <row r="3" spans="1:10" x14ac:dyDescent="0.25">
      <c r="A3" s="5" t="s">
        <v>2</v>
      </c>
      <c r="B3" s="5" t="s">
        <v>64</v>
      </c>
      <c r="C3" s="2">
        <v>2.105324074074074E-2</v>
      </c>
      <c r="D3" s="5">
        <v>5.22</v>
      </c>
      <c r="E3" s="5">
        <v>180</v>
      </c>
      <c r="F3" s="6">
        <v>0.24861111111111112</v>
      </c>
      <c r="G3" s="5" t="s">
        <v>11</v>
      </c>
      <c r="H3" s="5">
        <v>178</v>
      </c>
      <c r="I3" s="5">
        <v>160</v>
      </c>
      <c r="J3" s="5">
        <v>22</v>
      </c>
    </row>
    <row r="4" spans="1:10" x14ac:dyDescent="0.25">
      <c r="A4" s="5" t="s">
        <v>3</v>
      </c>
      <c r="B4" s="5" t="s">
        <v>65</v>
      </c>
      <c r="C4" s="2">
        <v>2.1423611111111112E-2</v>
      </c>
      <c r="D4" s="5">
        <v>5.42</v>
      </c>
      <c r="E4" s="5">
        <v>182</v>
      </c>
      <c r="F4" s="6">
        <v>0.23749999999999999</v>
      </c>
      <c r="G4" s="5">
        <v>31</v>
      </c>
      <c r="H4" s="5">
        <v>181</v>
      </c>
      <c r="I4" s="5">
        <v>159</v>
      </c>
      <c r="J4" s="5">
        <v>24</v>
      </c>
    </row>
    <row r="5" spans="1:10" x14ac:dyDescent="0.25">
      <c r="A5" s="5" t="s">
        <v>4</v>
      </c>
      <c r="B5" s="5" t="s">
        <v>66</v>
      </c>
      <c r="C5" s="3">
        <v>2.0914351851851851E-2</v>
      </c>
      <c r="D5" s="5">
        <v>5.46</v>
      </c>
      <c r="E5" s="5">
        <v>180</v>
      </c>
      <c r="F5" s="6">
        <v>0.2298611111111111</v>
      </c>
      <c r="G5" s="5" t="s">
        <v>11</v>
      </c>
      <c r="H5" s="5">
        <v>184</v>
      </c>
      <c r="I5" s="5">
        <v>160</v>
      </c>
      <c r="J5" s="5">
        <v>25</v>
      </c>
    </row>
    <row r="6" spans="1:10" x14ac:dyDescent="0.25">
      <c r="A6" s="5" t="s">
        <v>6</v>
      </c>
      <c r="B6" s="5" t="s">
        <v>67</v>
      </c>
      <c r="C6" s="2">
        <v>2.087962962962963E-2</v>
      </c>
      <c r="D6" s="5">
        <v>5.56</v>
      </c>
      <c r="E6" s="5">
        <v>187</v>
      </c>
      <c r="F6" s="6">
        <v>0.22500000000000001</v>
      </c>
      <c r="G6" s="5" t="s">
        <v>11</v>
      </c>
      <c r="H6" s="5">
        <v>190</v>
      </c>
      <c r="I6" s="5">
        <v>156</v>
      </c>
      <c r="J6" s="5">
        <v>24</v>
      </c>
    </row>
    <row r="7" spans="1:10" x14ac:dyDescent="0.25">
      <c r="A7" s="5" t="s">
        <v>7</v>
      </c>
      <c r="B7" s="5" t="s">
        <v>68</v>
      </c>
      <c r="C7" s="2">
        <v>3.1550925925925927E-2</v>
      </c>
      <c r="D7" s="5">
        <v>6.3</v>
      </c>
      <c r="E7" s="5">
        <v>160</v>
      </c>
      <c r="F7" s="6">
        <v>0.30069444444444443</v>
      </c>
      <c r="G7" s="5" t="s">
        <v>11</v>
      </c>
      <c r="H7" s="5">
        <v>144</v>
      </c>
      <c r="I7" s="5">
        <v>159</v>
      </c>
      <c r="J7" s="5">
        <v>26</v>
      </c>
    </row>
    <row r="8" spans="1:10" x14ac:dyDescent="0.25">
      <c r="A8" s="5" t="s">
        <v>8</v>
      </c>
      <c r="B8" s="5" t="s">
        <v>69</v>
      </c>
      <c r="C8" s="2">
        <v>3.6481481481481483E-2</v>
      </c>
      <c r="D8" s="5">
        <v>7.32</v>
      </c>
      <c r="E8" s="5">
        <v>162</v>
      </c>
      <c r="F8" s="6">
        <v>0.2986111111111111</v>
      </c>
      <c r="G8" s="5">
        <v>52</v>
      </c>
      <c r="H8" s="5">
        <v>142</v>
      </c>
      <c r="I8" s="5">
        <v>158</v>
      </c>
      <c r="J8" s="5">
        <v>26</v>
      </c>
    </row>
    <row r="9" spans="1:10" x14ac:dyDescent="0.25">
      <c r="A9" s="5" t="s">
        <v>9</v>
      </c>
      <c r="B9" s="5" t="s">
        <v>70</v>
      </c>
      <c r="C9" s="4">
        <v>3.1550925925925927E-2</v>
      </c>
      <c r="D9" s="5">
        <v>6.46</v>
      </c>
      <c r="E9" s="5">
        <v>163</v>
      </c>
      <c r="F9" s="6">
        <v>0.29305555555555557</v>
      </c>
      <c r="G9" s="5" t="s">
        <v>11</v>
      </c>
      <c r="H9" s="5">
        <v>148</v>
      </c>
      <c r="I9" s="5">
        <v>162</v>
      </c>
      <c r="J9" s="5">
        <v>23</v>
      </c>
    </row>
    <row r="10" spans="1:10" x14ac:dyDescent="0.25">
      <c r="A10" s="5" t="s">
        <v>10</v>
      </c>
      <c r="B10" s="5" t="s">
        <v>71</v>
      </c>
      <c r="C10" s="2">
        <v>3.90625E-2</v>
      </c>
      <c r="D10" s="5">
        <v>7.64</v>
      </c>
      <c r="E10" s="5">
        <v>160</v>
      </c>
      <c r="F10" s="6">
        <v>0.30694444444444446</v>
      </c>
      <c r="G10" s="5">
        <v>51</v>
      </c>
      <c r="H10" s="5">
        <v>140</v>
      </c>
      <c r="I10" s="5">
        <v>156</v>
      </c>
      <c r="J10" s="5">
        <v>27</v>
      </c>
    </row>
    <row r="11" spans="1:10" x14ac:dyDescent="0.25">
      <c r="A11" s="5" t="s">
        <v>18</v>
      </c>
      <c r="B11" s="5" t="s">
        <v>72</v>
      </c>
      <c r="C11" s="2">
        <v>4.0034722222222222E-2</v>
      </c>
      <c r="D11" s="5">
        <v>7.7</v>
      </c>
      <c r="E11" s="5">
        <v>159</v>
      </c>
      <c r="F11" s="6">
        <v>0.31180555555555556</v>
      </c>
      <c r="G11" s="5">
        <v>53</v>
      </c>
      <c r="H11" s="5">
        <v>139</v>
      </c>
      <c r="I11" s="5">
        <v>160</v>
      </c>
      <c r="J11" s="5">
        <v>26</v>
      </c>
    </row>
    <row r="12" spans="1:10" x14ac:dyDescent="0.25">
      <c r="A12" s="5" t="s">
        <v>19</v>
      </c>
      <c r="B12" s="5" t="s">
        <v>73</v>
      </c>
      <c r="C12" s="2">
        <v>4.1701388888888892E-2</v>
      </c>
      <c r="D12" s="5">
        <v>8.1</v>
      </c>
      <c r="E12" s="5">
        <v>158</v>
      </c>
      <c r="F12" s="6">
        <v>0.30902777777777779</v>
      </c>
      <c r="G12" s="5">
        <v>53</v>
      </c>
      <c r="H12" s="5">
        <v>140</v>
      </c>
      <c r="I12" s="5">
        <v>159</v>
      </c>
      <c r="J12" s="5">
        <v>27</v>
      </c>
    </row>
    <row r="13" spans="1:10" x14ac:dyDescent="0.25">
      <c r="A13" s="5" t="s">
        <v>20</v>
      </c>
      <c r="B13" s="5" t="s">
        <v>74</v>
      </c>
      <c r="C13" s="2">
        <v>4.238425925925926E-2</v>
      </c>
      <c r="D13" s="5">
        <v>8.19</v>
      </c>
      <c r="E13" s="5">
        <v>158</v>
      </c>
      <c r="F13" s="6">
        <v>0.31041666666666667</v>
      </c>
      <c r="G13" s="5">
        <v>51</v>
      </c>
      <c r="H13" s="5">
        <v>139</v>
      </c>
      <c r="I13" s="5">
        <v>158</v>
      </c>
      <c r="J13" s="5">
        <v>27</v>
      </c>
    </row>
    <row r="14" spans="1:10" x14ac:dyDescent="0.25">
      <c r="A14" s="5" t="s">
        <v>21</v>
      </c>
      <c r="B14" s="5" t="s">
        <v>75</v>
      </c>
      <c r="C14" s="2">
        <v>4.4166666666666667E-2</v>
      </c>
      <c r="D14" s="5">
        <v>8.33</v>
      </c>
      <c r="E14" s="5">
        <v>159</v>
      </c>
      <c r="F14" s="6">
        <v>0.31805555555555554</v>
      </c>
      <c r="G14" s="5">
        <v>50</v>
      </c>
      <c r="H14" s="5">
        <v>136</v>
      </c>
      <c r="I14" s="5">
        <v>159</v>
      </c>
      <c r="J14" s="5">
        <v>28</v>
      </c>
    </row>
    <row r="15" spans="1:10" x14ac:dyDescent="0.25">
      <c r="A15" s="5" t="s">
        <v>77</v>
      </c>
      <c r="B15" s="5" t="s">
        <v>76</v>
      </c>
      <c r="C15" s="2">
        <v>4.1712962962962966E-2</v>
      </c>
      <c r="D15" s="5">
        <v>8.65</v>
      </c>
      <c r="E15" s="5">
        <v>160</v>
      </c>
      <c r="F15" s="8">
        <v>0.28888888888888886</v>
      </c>
      <c r="G15" s="5">
        <v>52</v>
      </c>
      <c r="H15" s="5">
        <v>151</v>
      </c>
      <c r="I15" s="5">
        <v>161</v>
      </c>
      <c r="J15" s="5">
        <v>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E2DA8-0823-4A7B-AFE7-F3707B00699D}">
  <dimension ref="A1:O20"/>
  <sheetViews>
    <sheetView workbookViewId="0">
      <selection activeCell="N7" sqref="N7"/>
    </sheetView>
  </sheetViews>
  <sheetFormatPr defaultRowHeight="15" x14ac:dyDescent="0.25"/>
  <cols>
    <col min="1" max="2" width="14" bestFit="1" customWidth="1"/>
    <col min="3" max="3" width="11.140625" bestFit="1" customWidth="1"/>
    <col min="6" max="6" width="9.85546875" bestFit="1" customWidth="1"/>
    <col min="7" max="7" width="14" bestFit="1" customWidth="1"/>
    <col min="8" max="8" width="11.140625" bestFit="1" customWidth="1"/>
  </cols>
  <sheetData>
    <row r="1" spans="1:15" x14ac:dyDescent="0.25">
      <c r="A1" t="s">
        <v>45</v>
      </c>
      <c r="B1" t="s">
        <v>46</v>
      </c>
      <c r="C1" t="s">
        <v>47</v>
      </c>
      <c r="G1" t="s">
        <v>22</v>
      </c>
      <c r="H1" t="s">
        <v>23</v>
      </c>
      <c r="I1" t="s">
        <v>48</v>
      </c>
      <c r="J1" t="s">
        <v>49</v>
      </c>
    </row>
    <row r="2" spans="1:15" x14ac:dyDescent="0.25">
      <c r="A2" t="s">
        <v>25</v>
      </c>
      <c r="B2">
        <v>8</v>
      </c>
      <c r="C2">
        <v>90</v>
      </c>
      <c r="F2" s="9" t="s">
        <v>24</v>
      </c>
      <c r="G2" t="s">
        <v>25</v>
      </c>
      <c r="H2">
        <v>2</v>
      </c>
      <c r="I2">
        <f>(_xlfn.XLOOKUP(G2,A:A,B:B))*H2</f>
        <v>16</v>
      </c>
      <c r="J2">
        <f>(_xlfn.XLOOKUP(G2,A:A,C:C))*H2</f>
        <v>180</v>
      </c>
    </row>
    <row r="3" spans="1:15" x14ac:dyDescent="0.25">
      <c r="A3" t="s">
        <v>50</v>
      </c>
      <c r="B3">
        <v>26</v>
      </c>
      <c r="C3">
        <v>160</v>
      </c>
      <c r="F3" s="9"/>
      <c r="G3" t="s">
        <v>26</v>
      </c>
      <c r="H3">
        <v>1</v>
      </c>
      <c r="I3">
        <f t="shared" ref="I3:I11" si="0">(_xlfn.XLOOKUP(G3,A:A,B:B))*H3</f>
        <v>0.6</v>
      </c>
      <c r="J3">
        <f t="shared" ref="J3:J11" si="1">(_xlfn.XLOOKUP(G3,A:A,C:C))*H3</f>
        <v>15</v>
      </c>
      <c r="N3" s="10" t="s">
        <v>53</v>
      </c>
      <c r="O3" s="10"/>
    </row>
    <row r="4" spans="1:15" x14ac:dyDescent="0.25">
      <c r="A4" t="s">
        <v>42</v>
      </c>
      <c r="B4">
        <v>8.1</v>
      </c>
      <c r="C4">
        <v>145</v>
      </c>
      <c r="F4" s="9"/>
      <c r="G4" t="s">
        <v>27</v>
      </c>
      <c r="H4">
        <v>1</v>
      </c>
      <c r="I4">
        <f t="shared" si="0"/>
        <v>0.87</v>
      </c>
      <c r="J4">
        <f t="shared" si="1"/>
        <v>25</v>
      </c>
      <c r="N4" t="s">
        <v>59</v>
      </c>
      <c r="O4" t="s">
        <v>54</v>
      </c>
    </row>
    <row r="5" spans="1:15" x14ac:dyDescent="0.25">
      <c r="A5" t="s">
        <v>38</v>
      </c>
      <c r="B5">
        <v>6</v>
      </c>
      <c r="C5">
        <v>90</v>
      </c>
      <c r="F5" s="9"/>
      <c r="G5" t="s">
        <v>28</v>
      </c>
      <c r="H5">
        <v>0</v>
      </c>
      <c r="I5">
        <f t="shared" si="0"/>
        <v>0</v>
      </c>
      <c r="J5">
        <f t="shared" si="1"/>
        <v>0</v>
      </c>
      <c r="N5">
        <v>31</v>
      </c>
      <c r="O5" t="s">
        <v>55</v>
      </c>
    </row>
    <row r="6" spans="1:15" x14ac:dyDescent="0.25">
      <c r="A6" t="s">
        <v>37</v>
      </c>
      <c r="B6">
        <v>4.2</v>
      </c>
      <c r="C6">
        <v>118</v>
      </c>
      <c r="F6" t="s">
        <v>29</v>
      </c>
      <c r="G6" t="s">
        <v>30</v>
      </c>
      <c r="H6">
        <v>1</v>
      </c>
      <c r="I6">
        <f t="shared" si="0"/>
        <v>20</v>
      </c>
      <c r="J6">
        <f t="shared" si="1"/>
        <v>190</v>
      </c>
      <c r="N6">
        <v>166</v>
      </c>
      <c r="O6" t="s">
        <v>56</v>
      </c>
    </row>
    <row r="7" spans="1:15" x14ac:dyDescent="0.25">
      <c r="A7" t="s">
        <v>40</v>
      </c>
      <c r="B7">
        <v>26</v>
      </c>
      <c r="C7">
        <v>115</v>
      </c>
      <c r="F7" s="9" t="s">
        <v>31</v>
      </c>
      <c r="G7" t="s">
        <v>32</v>
      </c>
      <c r="H7">
        <v>1</v>
      </c>
      <c r="I7">
        <f t="shared" si="0"/>
        <v>60</v>
      </c>
      <c r="J7">
        <f t="shared" si="1"/>
        <v>350</v>
      </c>
      <c r="N7">
        <v>59.5</v>
      </c>
      <c r="O7" t="s">
        <v>57</v>
      </c>
    </row>
    <row r="8" spans="1:15" x14ac:dyDescent="0.25">
      <c r="A8" t="s">
        <v>51</v>
      </c>
      <c r="B8">
        <v>1.3</v>
      </c>
      <c r="C8">
        <v>105</v>
      </c>
      <c r="F8" s="9"/>
      <c r="G8" t="s">
        <v>33</v>
      </c>
      <c r="H8">
        <v>2.5</v>
      </c>
      <c r="I8">
        <f t="shared" si="0"/>
        <v>2.5</v>
      </c>
      <c r="J8">
        <f t="shared" si="1"/>
        <v>187.5</v>
      </c>
    </row>
    <row r="9" spans="1:15" x14ac:dyDescent="0.25">
      <c r="A9" t="s">
        <v>30</v>
      </c>
      <c r="B9">
        <v>20</v>
      </c>
      <c r="C9">
        <v>190</v>
      </c>
      <c r="F9" s="9"/>
      <c r="G9" t="s">
        <v>34</v>
      </c>
      <c r="H9">
        <v>1</v>
      </c>
      <c r="I9">
        <f t="shared" si="0"/>
        <v>2</v>
      </c>
      <c r="J9">
        <f t="shared" si="1"/>
        <v>50</v>
      </c>
    </row>
    <row r="10" spans="1:15" x14ac:dyDescent="0.25">
      <c r="A10" t="s">
        <v>26</v>
      </c>
      <c r="B10">
        <v>0.6</v>
      </c>
      <c r="C10">
        <v>15</v>
      </c>
      <c r="F10" s="9"/>
      <c r="G10" t="s">
        <v>35</v>
      </c>
      <c r="H10">
        <v>1</v>
      </c>
      <c r="I10">
        <f t="shared" si="0"/>
        <v>2</v>
      </c>
      <c r="J10">
        <f t="shared" si="1"/>
        <v>55</v>
      </c>
    </row>
    <row r="11" spans="1:15" x14ac:dyDescent="0.25">
      <c r="A11" t="s">
        <v>27</v>
      </c>
      <c r="B11">
        <v>0.87</v>
      </c>
      <c r="C11">
        <v>25</v>
      </c>
      <c r="F11" s="9"/>
      <c r="G11" t="s">
        <v>58</v>
      </c>
      <c r="H11">
        <v>0</v>
      </c>
      <c r="I11">
        <f t="shared" si="0"/>
        <v>0</v>
      </c>
      <c r="J11">
        <f t="shared" si="1"/>
        <v>0</v>
      </c>
    </row>
    <row r="12" spans="1:15" x14ac:dyDescent="0.25">
      <c r="A12" t="s">
        <v>32</v>
      </c>
      <c r="B12">
        <v>60</v>
      </c>
      <c r="C12">
        <v>350</v>
      </c>
      <c r="F12" s="9" t="s">
        <v>36</v>
      </c>
      <c r="G12" t="s">
        <v>37</v>
      </c>
      <c r="H12">
        <v>1</v>
      </c>
      <c r="I12">
        <f t="shared" ref="I12:I19" si="2">(_xlfn.XLOOKUP(G12,A:A,B:B))*H12</f>
        <v>4.2</v>
      </c>
      <c r="J12">
        <f t="shared" ref="J12:J19" si="3">(_xlfn.XLOOKUP(G12,A:A,C:C))*H12</f>
        <v>118</v>
      </c>
    </row>
    <row r="13" spans="1:15" x14ac:dyDescent="0.25">
      <c r="A13" t="s">
        <v>33</v>
      </c>
      <c r="B13">
        <v>1</v>
      </c>
      <c r="C13">
        <v>75</v>
      </c>
      <c r="F13" s="9"/>
      <c r="G13" t="s">
        <v>38</v>
      </c>
      <c r="H13">
        <v>1</v>
      </c>
      <c r="I13">
        <f t="shared" si="2"/>
        <v>6</v>
      </c>
      <c r="J13">
        <f t="shared" si="3"/>
        <v>90</v>
      </c>
    </row>
    <row r="14" spans="1:15" x14ac:dyDescent="0.25">
      <c r="A14" t="s">
        <v>43</v>
      </c>
      <c r="B14">
        <v>1.9</v>
      </c>
      <c r="C14">
        <v>20</v>
      </c>
      <c r="F14" s="9"/>
      <c r="G14" t="s">
        <v>51</v>
      </c>
      <c r="H14">
        <v>0</v>
      </c>
      <c r="I14">
        <f t="shared" si="2"/>
        <v>0</v>
      </c>
      <c r="J14">
        <f t="shared" si="3"/>
        <v>0</v>
      </c>
    </row>
    <row r="15" spans="1:15" x14ac:dyDescent="0.25">
      <c r="A15" t="s">
        <v>44</v>
      </c>
      <c r="B15">
        <v>2.2999999999999998</v>
      </c>
      <c r="C15">
        <v>21.5</v>
      </c>
      <c r="F15" t="s">
        <v>39</v>
      </c>
      <c r="G15" t="s">
        <v>40</v>
      </c>
      <c r="H15">
        <v>1</v>
      </c>
      <c r="I15">
        <f t="shared" si="2"/>
        <v>26</v>
      </c>
      <c r="J15">
        <f t="shared" si="3"/>
        <v>115</v>
      </c>
    </row>
    <row r="16" spans="1:15" x14ac:dyDescent="0.25">
      <c r="A16" t="s">
        <v>34</v>
      </c>
      <c r="B16">
        <v>2</v>
      </c>
      <c r="C16">
        <v>50</v>
      </c>
      <c r="F16" s="7" t="s">
        <v>41</v>
      </c>
      <c r="G16" t="s">
        <v>25</v>
      </c>
      <c r="H16">
        <v>3</v>
      </c>
      <c r="I16">
        <f t="shared" si="2"/>
        <v>24</v>
      </c>
      <c r="J16">
        <f t="shared" si="3"/>
        <v>270</v>
      </c>
    </row>
    <row r="17" spans="1:11" x14ac:dyDescent="0.25">
      <c r="A17" t="s">
        <v>35</v>
      </c>
      <c r="B17">
        <v>2</v>
      </c>
      <c r="C17">
        <v>55</v>
      </c>
      <c r="F17" s="7"/>
      <c r="G17" t="s">
        <v>42</v>
      </c>
      <c r="H17">
        <v>0</v>
      </c>
      <c r="I17">
        <f t="shared" si="2"/>
        <v>0</v>
      </c>
      <c r="J17">
        <f t="shared" si="3"/>
        <v>0</v>
      </c>
    </row>
    <row r="18" spans="1:11" x14ac:dyDescent="0.25">
      <c r="A18" t="s">
        <v>28</v>
      </c>
      <c r="B18">
        <v>0.6</v>
      </c>
      <c r="C18">
        <v>27</v>
      </c>
      <c r="F18" s="7"/>
      <c r="G18" t="s">
        <v>43</v>
      </c>
      <c r="H18">
        <v>1</v>
      </c>
      <c r="I18">
        <f t="shared" si="2"/>
        <v>1.9</v>
      </c>
      <c r="J18">
        <f t="shared" si="3"/>
        <v>20</v>
      </c>
    </row>
    <row r="19" spans="1:11" x14ac:dyDescent="0.25">
      <c r="A19" t="s">
        <v>58</v>
      </c>
      <c r="B19">
        <v>2</v>
      </c>
      <c r="C19">
        <v>90</v>
      </c>
      <c r="F19" s="7"/>
      <c r="G19" t="s">
        <v>44</v>
      </c>
      <c r="H19">
        <v>1</v>
      </c>
      <c r="I19">
        <f t="shared" si="2"/>
        <v>2.2999999999999998</v>
      </c>
      <c r="J19">
        <f t="shared" si="3"/>
        <v>21.5</v>
      </c>
    </row>
    <row r="20" spans="1:11" x14ac:dyDescent="0.25">
      <c r="I20">
        <f>SUM(I2:I19)</f>
        <v>168.37000000000003</v>
      </c>
      <c r="J20">
        <f>SUM(J2:J19)</f>
        <v>1687</v>
      </c>
      <c r="K20" t="s">
        <v>52</v>
      </c>
    </row>
  </sheetData>
  <mergeCells count="4">
    <mergeCell ref="F2:F5"/>
    <mergeCell ref="F12:F14"/>
    <mergeCell ref="F7:F11"/>
    <mergeCell ref="N3:O3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ריצות</vt:lpstr>
      <vt:lpstr>תזונה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 Ki</dc:creator>
  <cp:lastModifiedBy>Di Ki</cp:lastModifiedBy>
  <dcterms:created xsi:type="dcterms:W3CDTF">2026-08-03T05:29:03Z</dcterms:created>
  <dcterms:modified xsi:type="dcterms:W3CDTF">2026-08-04T05:43:04Z</dcterms:modified>
</cp:coreProperties>
</file>